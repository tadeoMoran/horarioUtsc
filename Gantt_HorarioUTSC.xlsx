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CristianAlejandroGue\Downloads\appmovilhorariosutsc\"/>
    </mc:Choice>
  </mc:AlternateContent>
  <xr:revisionPtr revIDLastSave="0" documentId="13_ncr:1_{4B639BA9-8E44-488B-89C1-F0D7731D45BE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Diagrama de Gant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16" i="1" l="1"/>
  <c r="P15" i="1"/>
  <c r="P14" i="1"/>
  <c r="P13" i="1"/>
  <c r="P12" i="1"/>
  <c r="P11" i="1"/>
  <c r="P10" i="1"/>
  <c r="P9" i="1"/>
  <c r="P8" i="1"/>
  <c r="P7" i="1"/>
  <c r="P6" i="1"/>
  <c r="P5" i="1"/>
</calcChain>
</file>

<file path=xl/sharedStrings.xml><?xml version="1.0" encoding="utf-8"?>
<sst xmlns="http://schemas.openxmlformats.org/spreadsheetml/2006/main" count="63" uniqueCount="50">
  <si>
    <t>DIAGRAMA DE GANTT – PROYECTO INTEGRADOR 2026 · HORARIOUTSC</t>
  </si>
  <si>
    <t>Universidad Tecnológica Santa Catarina  |  Septiembre – Noviembre 2026  |  Corte de avance: 22/10/2026 (semana 6)</t>
  </si>
  <si>
    <t>#</t>
  </si>
  <si>
    <t>Etapa / Actividad</t>
  </si>
  <si>
    <t>Inicio</t>
  </si>
  <si>
    <t>Fin</t>
  </si>
  <si>
    <t>S1
14/09</t>
  </si>
  <si>
    <t>S2
21/09</t>
  </si>
  <si>
    <t>S3
28/09</t>
  </si>
  <si>
    <t>S4
05/10</t>
  </si>
  <si>
    <t>S5
12/10</t>
  </si>
  <si>
    <t>S6
19/10</t>
  </si>
  <si>
    <t>S7
26/10</t>
  </si>
  <si>
    <t>S8
02/11</t>
  </si>
  <si>
    <t>S9
09/11</t>
  </si>
  <si>
    <t>S10
16/11</t>
  </si>
  <si>
    <t>% avance</t>
  </si>
  <si>
    <t>Estado</t>
  </si>
  <si>
    <t>Observaciones y desviaciones</t>
  </si>
  <si>
    <t>Planeación y propuesta del proyecto</t>
  </si>
  <si>
    <t>✔</t>
  </si>
  <si>
    <t>Completada en tiempo. Planeación (PDF/DOCX) y ficha de práctica listas el 17-18/09.</t>
  </si>
  <si>
    <t>Diseño: mockup y diagrama ER</t>
  </si>
  <si>
    <t>Completada en tiempo. Mockup y diagrama ER entregados el 30/09. Ambos se tratan como borradores y se ajustaron al construir.</t>
  </si>
  <si>
    <t>Base del monorepo y base de datos (PostgreSQL/Neon)</t>
  </si>
  <si>
    <t>!</t>
  </si>
  <si>
    <t>Desviación de +1 semana: se cerró el 14/10 (S5) y no el 11/10. Se cambió MySQL por PostgreSQL (Neon); la migración, ESLint, Prettier y CI se hicieron juntas.</t>
  </si>
  <si>
    <t>Desarrollo de la API (Node.js + Express)</t>
  </si>
  <si>
    <t>17 pruebas con Jest y Supertest en verde sobre Postgres en memoria. Falta probar contra Neon real (se hará en la etapa de despliegue).</t>
  </si>
  <si>
    <t>Panel web de administración</t>
  </si>
  <si>
    <t>Login, horario, avisos e historial hechos. Falta probarlo en el navegador; se cierra dentro de la semana 6, sin desviación.</t>
  </si>
  <si>
    <t>App móvil (Expo / React Native)</t>
  </si>
  <si>
    <t>Pantallas, caché sin conexión y modo claro/oscuro hechos. El rediseño «Cartera de boletos» del 14/10 no estaba en el plan (más trabajo, sin retraso). Falta probar en iPhone.</t>
  </si>
  <si>
    <t>Importación CSV, recordatorio y push</t>
  </si>
  <si>
    <t>Importación CSV (5a) y recordatorio local 15 min antes (5b) hechos. Pendiente el push remoto por grupo (5c).</t>
  </si>
  <si>
    <t>Videojuego – Capítulo 1</t>
  </si>
  <si>
    <t>Guion y script de Ren'Py del capítulo 1 en la carpeta del proyecto (22/10). Falta pulir, probar y cerrar la versión final.</t>
  </si>
  <si>
    <t>Despliegue (Render + Neon) y pruebas de integración</t>
  </si>
  <si>
    <t>Sin iniciar, según plan. Depende de terminar el push (5c) y de probar API y panel contra la base real.</t>
  </si>
  <si>
    <t>Documentación y repositorio</t>
  </si>
  <si>
    <t>README, COMANDOS, PRODUCT y DESIGN creados; Gantt actualizado en S6. Pendiente subir el repositorio a GitHub y regenerar DESIGN.md con capturas.</t>
  </si>
  <si>
    <t>Presentación final</t>
  </si>
  <si>
    <t>Sin iniciar, según plan.</t>
  </si>
  <si>
    <t>AVANCE GLOBAL DEL PROYECTO (promedio simple de las etapas)</t>
  </si>
  <si>
    <t>LEYENDA</t>
  </si>
  <si>
    <t>Semana planeada, todavía pendiente</t>
  </si>
  <si>
    <t>Semana con trabajo completado (también las semanas fuera de plan)</t>
  </si>
  <si>
    <t>Semana planeada que se retrasó; la etapa se cerró después</t>
  </si>
  <si>
    <t>Repositorio:</t>
  </si>
  <si>
    <t>https://github.com/tadeoMoran/horarioUtsc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</si>
</sst>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11"/>
      <color theme="1"/>
      <name val="Calibri"/>
      <family val="2"/>
      <scheme val="minor"/>
    </font>
    <font>
      <b/>
      <sz val="14"/>
      <color rgb="FFFFFFFF"/>
      <name val="Trebuchet MS"/>
    </font>
    <font>
      <i/>
      <sz val="10"/>
      <name val="Trebuchet MS"/>
    </font>
    <font>
      <b/>
      <sz val="10"/>
      <color rgb="FFFFFFFF"/>
      <name val="Trebuchet MS"/>
    </font>
    <font>
      <b/>
      <sz val="8"/>
      <color rgb="FFFFFFFF"/>
      <name val="Trebuchet MS"/>
    </font>
    <font>
      <sz val="9"/>
      <color rgb="FF2F2F2F"/>
      <name val="Trebuchet MS"/>
    </font>
    <font>
      <b/>
      <sz val="9"/>
      <color rgb="FF2F2F2F"/>
      <name val="Trebuchet MS"/>
    </font>
    <font>
      <sz val="9"/>
      <color rgb="FF0000FF"/>
      <name val="Trebuchet MS"/>
    </font>
    <font>
      <b/>
      <sz val="10"/>
      <color rgb="FF833C0B"/>
      <name val="Trebuchet MS"/>
    </font>
    <font>
      <b/>
      <sz val="9"/>
      <color rgb="FFFFFFFF"/>
      <name val="Trebuchet MS"/>
    </font>
    <font>
      <b/>
      <sz val="10"/>
      <name val="Trebuchet MS"/>
    </font>
    <font>
      <b/>
      <sz val="11"/>
      <color rgb="FF833C0B"/>
      <name val="Trebuchet MS"/>
    </font>
    <font>
      <sz val="9"/>
      <name val="Trebuchet MS"/>
    </font>
    <font>
      <b/>
      <sz val="11"/>
      <color rgb="FFFFFFFF"/>
      <name val="Trebuchet MS"/>
    </font>
    <font>
      <b/>
      <sz val="9"/>
      <name val="Trebuchet MS"/>
    </font>
    <font>
      <u/>
      <sz val="9"/>
      <color rgb="FF0563C1"/>
      <name val="Trebuchet MS"/>
    </font>
  </fonts>
  <fills count="9">
    <fill>
      <patternFill patternType="none"/>
    </fill>
    <fill>
      <patternFill patternType="gray125"/>
    </fill>
    <fill>
      <patternFill patternType="solid">
        <fgColor rgb="FF00B050"/>
      </patternFill>
    </fill>
    <fill>
      <patternFill patternType="solid">
        <fgColor rgb="FF2F2F2F"/>
      </patternFill>
    </fill>
    <fill>
      <patternFill patternType="solid">
        <fgColor rgb="FFFFF8F0"/>
      </patternFill>
    </fill>
    <fill>
      <patternFill patternType="solid">
        <fgColor rgb="FF2F75B5"/>
      </patternFill>
    </fill>
    <fill>
      <patternFill patternType="solid">
        <fgColor rgb="FFFFFFFF"/>
      </patternFill>
    </fill>
    <fill>
      <patternFill patternType="solid">
        <fgColor rgb="FFF4B183"/>
      </patternFill>
    </fill>
    <fill>
      <patternFill patternType="solid">
        <fgColor rgb="FF92D050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32">
    <xf numFmtId="0" fontId="0" fillId="0" borderId="0" xfId="0"/>
    <xf numFmtId="0" fontId="3" fillId="3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/>
    </xf>
    <xf numFmtId="0" fontId="6" fillId="4" borderId="1" xfId="0" applyFont="1" applyFill="1" applyBorder="1" applyAlignment="1">
      <alignment horizontal="left" vertical="center" wrapText="1"/>
    </xf>
    <xf numFmtId="14" fontId="5" fillId="4" borderId="1" xfId="0" applyNumberFormat="1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9" fontId="7" fillId="4" borderId="1" xfId="0" applyNumberFormat="1" applyFont="1" applyFill="1" applyBorder="1" applyAlignment="1">
      <alignment horizontal="center" vertical="center"/>
    </xf>
    <xf numFmtId="0" fontId="5" fillId="4" borderId="1" xfId="0" applyFont="1" applyFill="1" applyBorder="1" applyAlignment="1">
      <alignment vertical="center" wrapText="1"/>
    </xf>
    <xf numFmtId="0" fontId="5" fillId="6" borderId="1" xfId="0" applyFont="1" applyFill="1" applyBorder="1" applyAlignment="1">
      <alignment horizontal="center" vertical="center"/>
    </xf>
    <xf numFmtId="0" fontId="6" fillId="6" borderId="1" xfId="0" applyFont="1" applyFill="1" applyBorder="1" applyAlignment="1">
      <alignment horizontal="left" vertical="center" wrapText="1"/>
    </xf>
    <xf numFmtId="14" fontId="5" fillId="6" borderId="1" xfId="0" applyNumberFormat="1" applyFont="1" applyFill="1" applyBorder="1" applyAlignment="1">
      <alignment horizontal="center" vertical="center"/>
    </xf>
    <xf numFmtId="9" fontId="7" fillId="6" borderId="1" xfId="0" applyNumberFormat="1" applyFont="1" applyFill="1" applyBorder="1" applyAlignment="1">
      <alignment horizontal="center" vertical="center"/>
    </xf>
    <xf numFmtId="0" fontId="5" fillId="6" borderId="1" xfId="0" applyFont="1" applyFill="1" applyBorder="1" applyAlignment="1">
      <alignment vertical="center" wrapText="1"/>
    </xf>
    <xf numFmtId="0" fontId="8" fillId="7" borderId="1" xfId="0" applyFont="1" applyFill="1" applyBorder="1" applyAlignment="1">
      <alignment horizontal="center" vertical="center"/>
    </xf>
    <xf numFmtId="0" fontId="0" fillId="8" borderId="1" xfId="0" applyFill="1" applyBorder="1" applyAlignment="1">
      <alignment horizontal="center" vertical="center"/>
    </xf>
    <xf numFmtId="0" fontId="0" fillId="3" borderId="0" xfId="0" applyFill="1"/>
    <xf numFmtId="9" fontId="3" fillId="3" borderId="0" xfId="0" applyNumberFormat="1" applyFont="1" applyFill="1" applyAlignment="1">
      <alignment horizontal="center"/>
    </xf>
    <xf numFmtId="0" fontId="11" fillId="8" borderId="0" xfId="0" applyFont="1" applyFill="1" applyAlignment="1">
      <alignment horizontal="center"/>
    </xf>
    <xf numFmtId="0" fontId="13" fillId="5" borderId="0" xfId="0" applyFont="1" applyFill="1" applyAlignment="1">
      <alignment horizontal="center"/>
    </xf>
    <xf numFmtId="0" fontId="11" fillId="7" borderId="0" xfId="0" applyFont="1" applyFill="1" applyAlignment="1">
      <alignment horizontal="center"/>
    </xf>
    <xf numFmtId="0" fontId="1" fillId="2" borderId="0" xfId="0" applyFont="1" applyFill="1" applyAlignment="1">
      <alignment horizontal="center" vertical="center"/>
    </xf>
    <xf numFmtId="0" fontId="0" fillId="0" borderId="0" xfId="0"/>
    <xf numFmtId="0" fontId="9" fillId="3" borderId="0" xfId="0" applyFont="1" applyFill="1" applyAlignment="1">
      <alignment horizontal="right" vertical="center"/>
    </xf>
    <xf numFmtId="0" fontId="0" fillId="3" borderId="0" xfId="0" applyFill="1"/>
    <xf numFmtId="0" fontId="2" fillId="0" borderId="0" xfId="0" applyFont="1" applyAlignment="1">
      <alignment horizontal="center"/>
    </xf>
    <xf numFmtId="0" fontId="12" fillId="0" borderId="0" xfId="0" applyFont="1"/>
    <xf numFmtId="0" fontId="15" fillId="0" borderId="0" xfId="0" applyFont="1" applyAlignment="1">
      <alignment vertical="top" wrapText="1"/>
    </xf>
    <xf numFmtId="0" fontId="14" fillId="0" borderId="0" xfId="0" applyFont="1"/>
    <xf numFmtId="0" fontId="10" fillId="0" borderId="0" xfId="0" applyFont="1"/>
    <xf numFmtId="0" fontId="5" fillId="0" borderId="0" xfId="0" applyFont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github.com/tadeoMoran/horarioUtsc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Q25"/>
  <sheetViews>
    <sheetView showGridLines="0" tabSelected="1" workbookViewId="0">
      <pane xSplit="4" ySplit="4" topLeftCell="E12" activePane="bottomRight" state="frozen"/>
      <selection pane="topRight"/>
      <selection pane="bottomLeft"/>
      <selection pane="bottomRight" activeCell="C28" sqref="C28"/>
    </sheetView>
  </sheetViews>
  <sheetFormatPr baseColWidth="10" defaultColWidth="9.140625" defaultRowHeight="15" x14ac:dyDescent="0.25"/>
  <cols>
    <col min="1" max="1" width="4" customWidth="1"/>
    <col min="2" max="2" width="34" customWidth="1"/>
    <col min="3" max="4" width="11" customWidth="1"/>
    <col min="5" max="14" width="6.42578125" customWidth="1"/>
    <col min="15" max="15" width="9" customWidth="1"/>
    <col min="16" max="16" width="12" customWidth="1"/>
    <col min="17" max="17" width="70" customWidth="1"/>
  </cols>
  <sheetData>
    <row r="1" spans="1:17" ht="27.95" customHeight="1" x14ac:dyDescent="0.25">
      <c r="A1" s="22" t="s">
        <v>0</v>
      </c>
      <c r="B1" s="23"/>
      <c r="C1" s="23"/>
      <c r="D1" s="23"/>
      <c r="E1" s="23"/>
      <c r="F1" s="23"/>
      <c r="G1" s="23"/>
      <c r="H1" s="23"/>
      <c r="I1" s="23"/>
      <c r="J1" s="23"/>
      <c r="K1" s="23"/>
      <c r="L1" s="23"/>
      <c r="M1" s="23"/>
      <c r="N1" s="23"/>
      <c r="O1" s="23"/>
      <c r="P1" s="23"/>
      <c r="Q1" s="23"/>
    </row>
    <row r="2" spans="1:17" ht="15.75" x14ac:dyDescent="0.3">
      <c r="A2" s="26" t="s">
        <v>1</v>
      </c>
      <c r="B2" s="23"/>
      <c r="C2" s="23"/>
      <c r="D2" s="23"/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</row>
    <row r="4" spans="1:17" ht="32.1" customHeight="1" x14ac:dyDescent="0.25">
      <c r="A4" s="1" t="s">
        <v>2</v>
      </c>
      <c r="B4" s="1" t="s">
        <v>3</v>
      </c>
      <c r="C4" s="1" t="s">
        <v>4</v>
      </c>
      <c r="D4" s="1" t="s">
        <v>5</v>
      </c>
      <c r="E4" s="2" t="s">
        <v>6</v>
      </c>
      <c r="F4" s="2" t="s">
        <v>7</v>
      </c>
      <c r="G4" s="2" t="s">
        <v>8</v>
      </c>
      <c r="H4" s="2" t="s">
        <v>9</v>
      </c>
      <c r="I4" s="2" t="s">
        <v>10</v>
      </c>
      <c r="J4" s="2" t="s">
        <v>11</v>
      </c>
      <c r="K4" s="2" t="s">
        <v>12</v>
      </c>
      <c r="L4" s="2" t="s">
        <v>13</v>
      </c>
      <c r="M4" s="2" t="s">
        <v>14</v>
      </c>
      <c r="N4" s="2" t="s">
        <v>15</v>
      </c>
      <c r="O4" s="1" t="s">
        <v>16</v>
      </c>
      <c r="P4" s="1" t="s">
        <v>17</v>
      </c>
      <c r="Q4" s="1" t="s">
        <v>18</v>
      </c>
    </row>
    <row r="5" spans="1:17" ht="50.1" customHeight="1" x14ac:dyDescent="0.25">
      <c r="A5" s="3">
        <v>1</v>
      </c>
      <c r="B5" s="4" t="s">
        <v>19</v>
      </c>
      <c r="C5" s="5">
        <v>46279</v>
      </c>
      <c r="D5" s="5">
        <v>46285</v>
      </c>
      <c r="E5" s="6" t="s">
        <v>20</v>
      </c>
      <c r="F5" s="7"/>
      <c r="G5" s="7"/>
      <c r="H5" s="7"/>
      <c r="I5" s="7"/>
      <c r="J5" s="7"/>
      <c r="K5" s="7"/>
      <c r="L5" s="7"/>
      <c r="M5" s="7"/>
      <c r="N5" s="7"/>
      <c r="O5" s="8">
        <v>1</v>
      </c>
      <c r="P5" s="3" t="str">
        <f t="shared" ref="P5:P15" si="0">IF(O5&gt;=1,"Completada",IF(O5&gt;0,"En curso","Pendiente"))</f>
        <v>Completada</v>
      </c>
      <c r="Q5" s="9" t="s">
        <v>21</v>
      </c>
    </row>
    <row r="6" spans="1:17" ht="50.1" customHeight="1" x14ac:dyDescent="0.25">
      <c r="A6" s="10">
        <v>2</v>
      </c>
      <c r="B6" s="11" t="s">
        <v>22</v>
      </c>
      <c r="C6" s="12">
        <v>46286</v>
      </c>
      <c r="D6" s="12">
        <v>46299</v>
      </c>
      <c r="E6" s="7"/>
      <c r="F6" s="6" t="s">
        <v>20</v>
      </c>
      <c r="G6" s="6" t="s">
        <v>20</v>
      </c>
      <c r="H6" s="7"/>
      <c r="I6" s="7"/>
      <c r="J6" s="7"/>
      <c r="K6" s="7"/>
      <c r="L6" s="7"/>
      <c r="M6" s="7"/>
      <c r="N6" s="7"/>
      <c r="O6" s="13">
        <v>1</v>
      </c>
      <c r="P6" s="10" t="str">
        <f t="shared" si="0"/>
        <v>Completada</v>
      </c>
      <c r="Q6" s="14" t="s">
        <v>23</v>
      </c>
    </row>
    <row r="7" spans="1:17" ht="50.1" customHeight="1" x14ac:dyDescent="0.25">
      <c r="A7" s="3">
        <v>3</v>
      </c>
      <c r="B7" s="4" t="s">
        <v>24</v>
      </c>
      <c r="C7" s="5">
        <v>46300</v>
      </c>
      <c r="D7" s="5">
        <v>46306</v>
      </c>
      <c r="E7" s="7"/>
      <c r="F7" s="7"/>
      <c r="G7" s="7"/>
      <c r="H7" s="15" t="s">
        <v>25</v>
      </c>
      <c r="I7" s="6" t="s">
        <v>20</v>
      </c>
      <c r="J7" s="7"/>
      <c r="K7" s="7"/>
      <c r="L7" s="7"/>
      <c r="M7" s="7"/>
      <c r="N7" s="7"/>
      <c r="O7" s="8">
        <v>1</v>
      </c>
      <c r="P7" s="3" t="str">
        <f t="shared" si="0"/>
        <v>Completada</v>
      </c>
      <c r="Q7" s="9" t="s">
        <v>26</v>
      </c>
    </row>
    <row r="8" spans="1:17" ht="50.1" customHeight="1" x14ac:dyDescent="0.25">
      <c r="A8" s="10">
        <v>4</v>
      </c>
      <c r="B8" s="11" t="s">
        <v>27</v>
      </c>
      <c r="C8" s="12">
        <v>46300</v>
      </c>
      <c r="D8" s="12">
        <v>46313</v>
      </c>
      <c r="E8" s="7"/>
      <c r="F8" s="7"/>
      <c r="G8" s="7"/>
      <c r="H8" s="6" t="s">
        <v>20</v>
      </c>
      <c r="I8" s="6" t="s">
        <v>20</v>
      </c>
      <c r="J8" s="7"/>
      <c r="K8" s="7"/>
      <c r="L8" s="7"/>
      <c r="M8" s="7"/>
      <c r="N8" s="7"/>
      <c r="O8" s="13">
        <v>0.9</v>
      </c>
      <c r="P8" s="10" t="str">
        <f t="shared" si="0"/>
        <v>En curso</v>
      </c>
      <c r="Q8" s="14" t="s">
        <v>28</v>
      </c>
    </row>
    <row r="9" spans="1:17" ht="50.1" customHeight="1" x14ac:dyDescent="0.25">
      <c r="A9" s="3">
        <v>5</v>
      </c>
      <c r="B9" s="4" t="s">
        <v>29</v>
      </c>
      <c r="C9" s="5">
        <v>46307</v>
      </c>
      <c r="D9" s="5">
        <v>46320</v>
      </c>
      <c r="E9" s="7"/>
      <c r="F9" s="7"/>
      <c r="G9" s="7"/>
      <c r="H9" s="7"/>
      <c r="I9" s="6" t="s">
        <v>20</v>
      </c>
      <c r="J9" s="16"/>
      <c r="K9" s="7"/>
      <c r="L9" s="7"/>
      <c r="M9" s="7"/>
      <c r="N9" s="7"/>
      <c r="O9" s="8">
        <v>0.85</v>
      </c>
      <c r="P9" s="3" t="str">
        <f t="shared" si="0"/>
        <v>En curso</v>
      </c>
      <c r="Q9" s="9" t="s">
        <v>30</v>
      </c>
    </row>
    <row r="10" spans="1:17" ht="50.1" customHeight="1" x14ac:dyDescent="0.25">
      <c r="A10" s="10">
        <v>6</v>
      </c>
      <c r="B10" s="11" t="s">
        <v>31</v>
      </c>
      <c r="C10" s="12">
        <v>46307</v>
      </c>
      <c r="D10" s="12">
        <v>46327</v>
      </c>
      <c r="E10" s="7"/>
      <c r="F10" s="7"/>
      <c r="G10" s="7"/>
      <c r="H10" s="7"/>
      <c r="I10" s="6" t="s">
        <v>20</v>
      </c>
      <c r="J10" s="16"/>
      <c r="K10" s="16"/>
      <c r="L10" s="7"/>
      <c r="M10" s="7"/>
      <c r="N10" s="7"/>
      <c r="O10" s="13">
        <v>0.8</v>
      </c>
      <c r="P10" s="10" t="str">
        <f t="shared" si="0"/>
        <v>En curso</v>
      </c>
      <c r="Q10" s="14" t="s">
        <v>32</v>
      </c>
    </row>
    <row r="11" spans="1:17" ht="50.1" customHeight="1" x14ac:dyDescent="0.25">
      <c r="A11" s="3">
        <v>7</v>
      </c>
      <c r="B11" s="4" t="s">
        <v>33</v>
      </c>
      <c r="C11" s="5">
        <v>46314</v>
      </c>
      <c r="D11" s="5">
        <v>46327</v>
      </c>
      <c r="E11" s="7"/>
      <c r="F11" s="7"/>
      <c r="G11" s="7"/>
      <c r="H11" s="7"/>
      <c r="I11" s="7"/>
      <c r="J11" s="6" t="s">
        <v>20</v>
      </c>
      <c r="K11" s="16"/>
      <c r="L11" s="7"/>
      <c r="M11" s="7"/>
      <c r="N11" s="7"/>
      <c r="O11" s="8">
        <v>0.65</v>
      </c>
      <c r="P11" s="3" t="str">
        <f t="shared" si="0"/>
        <v>En curso</v>
      </c>
      <c r="Q11" s="9" t="s">
        <v>34</v>
      </c>
    </row>
    <row r="12" spans="1:17" ht="50.1" customHeight="1" x14ac:dyDescent="0.25">
      <c r="A12" s="10">
        <v>8</v>
      </c>
      <c r="B12" s="11" t="s">
        <v>35</v>
      </c>
      <c r="C12" s="12">
        <v>46314</v>
      </c>
      <c r="D12" s="12">
        <v>46334</v>
      </c>
      <c r="E12" s="7"/>
      <c r="F12" s="7"/>
      <c r="G12" s="7"/>
      <c r="H12" s="7"/>
      <c r="I12" s="7"/>
      <c r="J12" s="6" t="s">
        <v>20</v>
      </c>
      <c r="K12" s="16"/>
      <c r="L12" s="16"/>
      <c r="M12" s="7"/>
      <c r="N12" s="7"/>
      <c r="O12" s="13">
        <v>0.5</v>
      </c>
      <c r="P12" s="10" t="str">
        <f t="shared" si="0"/>
        <v>En curso</v>
      </c>
      <c r="Q12" s="14" t="s">
        <v>36</v>
      </c>
    </row>
    <row r="13" spans="1:17" ht="50.1" customHeight="1" x14ac:dyDescent="0.25">
      <c r="A13" s="3">
        <v>9</v>
      </c>
      <c r="B13" s="4" t="s">
        <v>37</v>
      </c>
      <c r="C13" s="5">
        <v>46328</v>
      </c>
      <c r="D13" s="5">
        <v>46341</v>
      </c>
      <c r="E13" s="7"/>
      <c r="F13" s="7"/>
      <c r="G13" s="7"/>
      <c r="H13" s="7"/>
      <c r="I13" s="7"/>
      <c r="J13" s="7"/>
      <c r="K13" s="7"/>
      <c r="L13" s="16"/>
      <c r="M13" s="16"/>
      <c r="N13" s="7"/>
      <c r="O13" s="8">
        <v>0</v>
      </c>
      <c r="P13" s="3" t="str">
        <f t="shared" si="0"/>
        <v>Pendiente</v>
      </c>
      <c r="Q13" s="9" t="s">
        <v>38</v>
      </c>
    </row>
    <row r="14" spans="1:17" ht="50.1" customHeight="1" x14ac:dyDescent="0.25">
      <c r="A14" s="10">
        <v>10</v>
      </c>
      <c r="B14" s="11" t="s">
        <v>39</v>
      </c>
      <c r="C14" s="12">
        <v>46307</v>
      </c>
      <c r="D14" s="12">
        <v>46341</v>
      </c>
      <c r="E14" s="7"/>
      <c r="F14" s="7"/>
      <c r="G14" s="7"/>
      <c r="H14" s="7"/>
      <c r="I14" s="6" t="s">
        <v>20</v>
      </c>
      <c r="J14" s="6" t="s">
        <v>20</v>
      </c>
      <c r="K14" s="16"/>
      <c r="L14" s="16"/>
      <c r="M14" s="16"/>
      <c r="N14" s="7"/>
      <c r="O14" s="13">
        <v>0.4</v>
      </c>
      <c r="P14" s="10" t="str">
        <f t="shared" si="0"/>
        <v>En curso</v>
      </c>
      <c r="Q14" s="14" t="s">
        <v>40</v>
      </c>
    </row>
    <row r="15" spans="1:17" ht="50.1" customHeight="1" x14ac:dyDescent="0.25">
      <c r="A15" s="3">
        <v>11</v>
      </c>
      <c r="B15" s="4" t="s">
        <v>41</v>
      </c>
      <c r="C15" s="5">
        <v>46342</v>
      </c>
      <c r="D15" s="5">
        <v>46346</v>
      </c>
      <c r="E15" s="7"/>
      <c r="F15" s="7"/>
      <c r="G15" s="7"/>
      <c r="H15" s="7"/>
      <c r="I15" s="7"/>
      <c r="J15" s="7"/>
      <c r="K15" s="7"/>
      <c r="L15" s="7"/>
      <c r="M15" s="7"/>
      <c r="N15" s="16"/>
      <c r="O15" s="8">
        <v>0</v>
      </c>
      <c r="P15" s="3" t="str">
        <f t="shared" si="0"/>
        <v>Pendiente</v>
      </c>
      <c r="Q15" s="9" t="s">
        <v>42</v>
      </c>
    </row>
    <row r="16" spans="1:17" ht="15.75" x14ac:dyDescent="0.3">
      <c r="A16" s="24" t="s">
        <v>43</v>
      </c>
      <c r="B16" s="25"/>
      <c r="C16" s="25"/>
      <c r="D16" s="25"/>
      <c r="E16" s="25"/>
      <c r="F16" s="25"/>
      <c r="G16" s="25"/>
      <c r="H16" s="25"/>
      <c r="I16" s="25"/>
      <c r="J16" s="25"/>
      <c r="K16" s="25"/>
      <c r="L16" s="25"/>
      <c r="M16" s="25"/>
      <c r="N16" s="25"/>
      <c r="O16" s="18">
        <f>AVERAGE(O5:O15)</f>
        <v>0.6454545454545455</v>
      </c>
      <c r="P16" s="17"/>
      <c r="Q16" s="17"/>
    </row>
    <row r="18" spans="1:17" ht="15.75" x14ac:dyDescent="0.3">
      <c r="A18" s="30" t="s">
        <v>44</v>
      </c>
      <c r="B18" s="23"/>
      <c r="C18" s="23"/>
      <c r="D18" s="23"/>
      <c r="E18" s="23"/>
      <c r="F18" s="23"/>
      <c r="G18" s="23"/>
      <c r="H18" s="23"/>
      <c r="I18" s="23"/>
      <c r="J18" s="23"/>
      <c r="K18" s="23"/>
      <c r="L18" s="23"/>
      <c r="M18" s="23"/>
      <c r="N18" s="23"/>
      <c r="O18" s="23"/>
      <c r="P18" s="23"/>
      <c r="Q18" s="23"/>
    </row>
    <row r="19" spans="1:17" ht="17.25" x14ac:dyDescent="0.35">
      <c r="A19" s="19"/>
      <c r="B19" s="27" t="s">
        <v>45</v>
      </c>
      <c r="C19" s="23"/>
      <c r="D19" s="23"/>
      <c r="E19" s="23"/>
      <c r="F19" s="23"/>
      <c r="G19" s="23"/>
      <c r="H19" s="23"/>
      <c r="I19" s="23"/>
      <c r="J19" s="23"/>
      <c r="K19" s="23"/>
      <c r="L19" s="23"/>
      <c r="M19" s="23"/>
      <c r="N19" s="23"/>
    </row>
    <row r="20" spans="1:17" ht="17.25" x14ac:dyDescent="0.35">
      <c r="A20" s="20" t="s">
        <v>20</v>
      </c>
      <c r="B20" s="27" t="s">
        <v>46</v>
      </c>
      <c r="C20" s="23"/>
      <c r="D20" s="23"/>
      <c r="E20" s="23"/>
      <c r="F20" s="23"/>
      <c r="G20" s="23"/>
      <c r="H20" s="23"/>
      <c r="I20" s="23"/>
      <c r="J20" s="23"/>
      <c r="K20" s="23"/>
      <c r="L20" s="23"/>
      <c r="M20" s="23"/>
      <c r="N20" s="23"/>
    </row>
    <row r="21" spans="1:17" ht="17.25" x14ac:dyDescent="0.35">
      <c r="A21" s="21" t="s">
        <v>25</v>
      </c>
      <c r="B21" s="27" t="s">
        <v>47</v>
      </c>
      <c r="C21" s="23"/>
      <c r="D21" s="23"/>
      <c r="E21" s="23"/>
      <c r="F21" s="23"/>
      <c r="G21" s="23"/>
      <c r="H21" s="23"/>
      <c r="I21" s="23"/>
      <c r="J21" s="23"/>
      <c r="K21" s="23"/>
      <c r="L21" s="23"/>
      <c r="M21" s="23"/>
      <c r="N21" s="23"/>
    </row>
    <row r="23" spans="1:17" ht="16.5" x14ac:dyDescent="0.35">
      <c r="A23" s="29" t="s">
        <v>48</v>
      </c>
      <c r="B23" s="23"/>
      <c r="C23" s="28" t="s">
        <v>49</v>
      </c>
      <c r="D23" s="23"/>
      <c r="E23" s="23"/>
      <c r="F23" s="23"/>
      <c r="G23" s="23"/>
      <c r="H23" s="23"/>
      <c r="I23" s="23"/>
      <c r="J23" s="23"/>
      <c r="K23" s="23"/>
      <c r="L23" s="23"/>
      <c r="M23" s="23"/>
      <c r="N23" s="23"/>
      <c r="O23" s="23"/>
      <c r="P23" s="23"/>
      <c r="Q23" s="23"/>
    </row>
    <row r="24" spans="1:17" ht="26.1" customHeight="1" x14ac:dyDescent="0.35">
      <c r="A24" s="29"/>
      <c r="B24" s="23"/>
      <c r="C24" s="31"/>
      <c r="D24" s="23"/>
      <c r="E24" s="23"/>
      <c r="F24" s="23"/>
      <c r="G24" s="23"/>
      <c r="H24" s="23"/>
      <c r="I24" s="23"/>
      <c r="J24" s="23"/>
      <c r="K24" s="23"/>
      <c r="L24" s="23"/>
      <c r="M24" s="23"/>
      <c r="N24" s="23"/>
      <c r="O24" s="23"/>
      <c r="P24" s="23"/>
      <c r="Q24" s="23"/>
    </row>
    <row r="25" spans="1:17" ht="26.1" customHeight="1" x14ac:dyDescent="0.35">
      <c r="A25" s="29"/>
      <c r="B25" s="23"/>
      <c r="C25" s="31"/>
      <c r="D25" s="23"/>
      <c r="E25" s="23"/>
      <c r="F25" s="23"/>
      <c r="G25" s="23"/>
      <c r="H25" s="23"/>
      <c r="I25" s="23"/>
      <c r="J25" s="23"/>
      <c r="K25" s="23"/>
      <c r="L25" s="23"/>
      <c r="M25" s="23"/>
      <c r="N25" s="23"/>
      <c r="O25" s="23"/>
      <c r="P25" s="23"/>
      <c r="Q25" s="23"/>
    </row>
  </sheetData>
  <mergeCells count="13">
    <mergeCell ref="A24:B24"/>
    <mergeCell ref="A18:Q18"/>
    <mergeCell ref="C25:Q25"/>
    <mergeCell ref="C24:Q24"/>
    <mergeCell ref="A25:B25"/>
    <mergeCell ref="A1:Q1"/>
    <mergeCell ref="A16:N16"/>
    <mergeCell ref="A2:Q2"/>
    <mergeCell ref="B21:N21"/>
    <mergeCell ref="C23:Q23"/>
    <mergeCell ref="A23:B23"/>
    <mergeCell ref="B20:N20"/>
    <mergeCell ref="B19:N19"/>
  </mergeCells>
  <hyperlinks>
    <hyperlink ref="C23" r:id="rId1" xr:uid="{00000000-0004-0000-0000-000000000000}"/>
  </hyperlinks>
  <pageMargins left="0.75" right="0.75" top="1" bottom="1" header="0.5" footer="0.5"/>
  <pageSetup fitToHeight="0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Diagrama de Gantt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Tadeo Moran</cp:lastModifiedBy>
  <dcterms:created xsi:type="dcterms:W3CDTF">2026-10-22T20:38:08Z</dcterms:created>
  <dcterms:modified xsi:type="dcterms:W3CDTF">2026-10-22T21:06:57Z</dcterms:modified>
</cp:coreProperties>
</file>